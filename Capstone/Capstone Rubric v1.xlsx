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apstone-I "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<sst xmlns="http://schemas.openxmlformats.org/spreadsheetml/2006/main" count="104" uniqueCount="98">
  <si>
    <t xml:space="preserve">Java Upskilling Cohort 2 Capstone Rubric</t>
  </si>
  <si>
    <t xml:space="preserve">Name:</t>
  </si>
  <si>
    <t xml:space="preserve">Does Not Meet Expectations</t>
  </si>
  <si>
    <t xml:space="preserve">Meets Expectations</t>
  </si>
  <si>
    <t xml:space="preserve">Exceeds Expectations</t>
  </si>
  <si>
    <t xml:space="preserve">Score</t>
  </si>
  <si>
    <t xml:space="preserve">Weight</t>
  </si>
  <si>
    <t xml:space="preserve">Comments</t>
  </si>
  <si>
    <t xml:space="preserve">Backend Implementation</t>
  </si>
  <si>
    <t xml:space="preserve">Business and Security Logic</t>
  </si>
  <si>
    <t xml:space="preserve">Unable to completely implement the business logic and security requirements in the BankService layer or other components in the project.  Not all the implemented logic is tested or has failing tests.</t>
  </si>
  <si>
    <t xml:space="preserve">The business and security logic is implemented and passes all the validation tests. Authorization enforced as the service layer</t>
  </si>
  <si>
    <t xml:space="preserve">In addition to the tests passing, additional validation is done with the Spring boot validator and configured correctly in the Application.yaml file. Business logic and security logic failures are logged. The business logic is loosely coupled and can be easily modified and updated.</t>
  </si>
  <si>
    <t xml:space="preserve">REST Implementation</t>
  </si>
  <si>
    <t xml:space="preserve">Unable to implement the required REST endpoints that support the specified API contracts. </t>
  </si>
  <si>
    <r>
      <rPr>
        <sz val="10"/>
        <rFont val="Calibri"/>
        <family val="2"/>
        <charset val="1"/>
      </rPr>
      <t xml:space="preserve">Implements REST endpoints that conform to the provided API contract, correctly handling HTTP methods, request and response payloads, and status codes. Endpoints r</t>
    </r>
    <r>
      <rPr>
        <sz val="10"/>
        <rFont val="Calibri"/>
        <family val="2"/>
      </rPr>
      <t xml:space="preserve">eturn proper error responses (4xx/5xx) with useful messages, and are documented.  Endpoints are fully tested and pass all tests. </t>
    </r>
  </si>
  <si>
    <t xml:space="preserve">The endpoints provide idempotent behavior where appropriate, designed to support versioning, show a correct logical mapping between endpoints, business objects and operations. API is easily extensible. Can explain how to implement resilience features</t>
  </si>
  <si>
    <t xml:space="preserve">Oracle Persistence</t>
  </si>
  <si>
    <t xml:space="preserve">Unable to connect the application to the Oracle database. Data model is not implemented correctly. Data CRUD operations are not implemented correctly. Spring Data is not fully implemented or is implemented incorrectly</t>
  </si>
  <si>
    <t xml:space="preserve">Spring Data / JPA (or JDBC) is used correctly to access the Oracle database that CRUD operations on business objects work end-to-end. Correct data validation is performed and Oracle exceptions and errors handled correctly. All tests pass.</t>
  </si>
  <si>
    <t xml:space="preserve">The persistence layer uses transactions correctly to integrate with the service layer transactions. Audit triggers and validation triggers are implemented and tested. All errors are propagated correctly to the service layer including when the database is offline</t>
  </si>
  <si>
    <t xml:space="preserve">Kafka </t>
  </si>
  <si>
    <t xml:space="preserve">Unable to implement a Kafka topic or a Kafka producer or consumer using Spring Kafka. Tests do not exist or do not pass.</t>
  </si>
  <si>
    <t xml:space="preserve">Correctly publishes required events according to a Kafka topic according to a provided schema. Uses an appropriate producer mode for read/write semantics (at least once, at most once and exactly once) and can justify the choices for using those modes.  Use of appropriate meta-data. Tests all pass to show correctness of implementation. Can explain how to add a dead letter topic.</t>
  </si>
  <si>
    <t xml:space="preserve">The code handles producer failures. Implements an appropriate downstream consumers for the topics, and implements dead letter topic into the design</t>
  </si>
  <si>
    <t xml:space="preserve">Architecture</t>
  </si>
  <si>
    <t xml:space="preserve">Unable to explain the roles and functionality of all of the components in the project architecture</t>
  </si>
  <si>
    <t xml:space="preserve">Can explain the roles, responsibilities and functions of each of the main components and how they are implemented in a production environment.</t>
  </si>
  <si>
    <t xml:space="preserve">Can demonstrate the flow of transactions through the architecture. Components are designed so that they can be redeployed in a different environment without code changes.  Show how the design follows configuration best practices.</t>
  </si>
  <si>
    <t xml:space="preserve">Section Total:</t>
  </si>
  <si>
    <t xml:space="preserve">Frontend Implementation</t>
  </si>
  <si>
    <t xml:space="preserve">React components and API integration</t>
  </si>
  <si>
    <t xml:space="preserve">Cannot describe the interaction of the BFF components and the UI component, or describe the flow of tokens, cookies and other data used during their interactions. React SPA does not work correctly or fails to pass basic tests </t>
  </si>
  <si>
    <t xml:space="preserve">Can describe the React architecture of the SPA application. Can demonstrate how the SPA calls backend APIs, handles loading and error states, and displays responses correctly. A set of integration test exsit to show the correct functioning of SPA-BFF connection</t>
  </si>
  <si>
    <t xml:space="preserve">Can demonstrate the flow of transactions  from the SPA to the BFF and BankService and back.  The SPA passes all integration tests. Error messages are handled gracefully in the SPA</t>
  </si>
  <si>
    <t xml:space="preserve">Authenticated UI interactions</t>
  </si>
  <si>
    <t xml:space="preserve">The UI does not correctly propagate authentication tokens to backend APIs, or fails to handle unauthenticated states.</t>
  </si>
  <si>
    <t xml:space="preserve">UI interactions respect the authenticated session; protected views and API calls work only for logged-in users, and 401/403 responses are handled appropriately.</t>
  </si>
  <si>
    <t xml:space="preserve">The UI handles token expiry, protects sensitive routes, and does not leak tokens in logs, URLs, or component state longer than necessary.</t>
  </si>
  <si>
    <t xml:space="preserve">Security Integration</t>
  </si>
  <si>
    <t xml:space="preserve">OAuth2 Authentication Server</t>
  </si>
  <si>
    <t xml:space="preserve">Cannot configure an OAuth2 resource server to produce valid access tokens. </t>
  </si>
  <si>
    <r>
      <rPr>
        <sz val="10"/>
        <rFont val="Calibri"/>
        <family val="2"/>
        <charset val="1"/>
      </rPr>
      <t xml:space="preserve">The Spring Boot OAuth2 resource server issues correct JWT/ODIC tokens as well as client credential tokens. </t>
    </r>
    <r>
      <rPr>
        <sz val="10"/>
        <rFont val="Calibri"/>
        <family val="2"/>
      </rPr>
      <t xml:space="preserve">The appropriate OAuth flow is used (Authorization Code with PKCE for the SPA), scopes are handled thoughtfully, and tokens are stored securely on the client.</t>
    </r>
  </si>
  <si>
    <t xml:space="preserve">Issuer, audience, and signature validation are configured correctly. Token invalidation on logout works correctly. </t>
  </si>
  <si>
    <t xml:space="preserve">Role-based access control (customer, bank staff)</t>
  </si>
  <si>
    <t xml:space="preserve">Role checks are not applied correctly to endpoints, or roles are applied incorrectly so that privileges leak between customer and bank staff. </t>
  </si>
  <si>
    <t xml:space="preserve">RBAC is implemented so that customer and bank staff roles have appropriate, clearly differentiated access to endpoints and UI features.</t>
  </si>
  <si>
    <t xml:space="preserve">Authorization is enforced at multiple layers (method-level and filter/controller), denies by default, and is covered by tests that verify role-based behavior.</t>
  </si>
  <si>
    <t xml:space="preserve">Endpoint hardening and token validation</t>
  </si>
  <si>
    <t xml:space="preserve">Endpoints are either unprotected or protection can be trivially bypassed; token validation is missing or misapplied. The external API call exposes credentials.</t>
  </si>
  <si>
    <t xml:space="preserve">All sensitive endpoints require valid tokens with appropriate scopes/roles; token validation includes expiry, signature, and claims checks. The external payment API call uses secure credential handling. Validated with appropriate tests</t>
  </si>
  <si>
    <t xml:space="preserve">Token handling resists common attacks (replay, token substitution, confused-deputy), the external payment integration isolates credentials properly (secret management, no client exposure), and propagation between the React UI and backend is validated.</t>
  </si>
  <si>
    <t xml:space="preserve">Testing &amp; Security Validation</t>
  </si>
  <si>
    <t xml:space="preserve">Unit tests (Copilot-assisted)</t>
  </si>
  <si>
    <t xml:space="preserve">There are few or no meaningful unit tests, or tests pass trivially without exercising real logic.</t>
  </si>
  <si>
    <t xml:space="preserve">Generates a reasonable suite of unit tests with Copilot assistance that cover the main service and controller logic; tests are independent and deterministic. The </t>
  </si>
  <si>
    <t xml:space="preserve">Critically reviews Copilot-generated tests, adds edge-case coverage, uses mocks/stubs appropriately, and achieves meaningful coverage of business logic (not coverage-for-coverage's-sake).</t>
  </si>
  <si>
    <t xml:space="preserve">Integration tests</t>
  </si>
  <si>
    <t xml:space="preserve">No end-to-end integration tests exist; the learner cannot demonstrate that the API works through its full stack (controller → service → persistence).</t>
  </si>
  <si>
    <t xml:space="preserve">Has Integration tests that exercise the confirming critical happy-path and failure flows. </t>
  </si>
  <si>
    <t xml:space="preserve">Integration tests include security-aware scenarios  that cover both authenticated vs. Unauthenticated and  role checks</t>
  </si>
  <si>
    <t xml:space="preserve">SAST scan (SonarQube) and remediation</t>
  </si>
  <si>
    <t xml:space="preserve">The learner does not run the SAST scan successfully, or cannot interpret and respond to the issues raised.</t>
  </si>
  <si>
    <t xml:space="preserve">Runs the SonarQube SAST scan, triages the findings, and remediates the most important vulnerabilities in the code.</t>
  </si>
  <si>
    <t xml:space="preserve">Provides written rationale for each finding (fix / accept / defer), demonstrates rescans confirming fixes, and applies defence-in-depth where simple patches are insufficient.</t>
  </si>
  <si>
    <t xml:space="preserve">AI-Assisted Development</t>
  </si>
  <si>
    <t xml:space="preserve">Effective Copilot usage</t>
  </si>
  <si>
    <t xml:space="preserve">Uses Copilot as a passive auto-complete, accepts suggestions without review, or avoids Copilot where it would clearly help.</t>
  </si>
  <si>
    <t xml:space="preserve">Uses Copilot effectively across backend, frontend, and test authoring. Shows the ability to write clear comments/prompts, iterating on suggestions, and pairing AI output with their own judgment.</t>
  </si>
  <si>
    <t xml:space="preserve">Demonstrates advanced Copilot techniques (context priming, AI-assisted refactoring, generating tests from specs) and can explain when AI is, and is not, the right tool for a given task.</t>
  </si>
  <si>
    <t xml:space="preserve">Critical review of AI-generated code</t>
  </si>
  <si>
    <t xml:space="preserve">Accepts Copilot output without reading it, cannot explain what generated code does, or cannot resolve hallucinated or insecure code.</t>
  </si>
  <si>
    <t xml:space="preserve">Reviews Copilot output before accepting it, rejects or edits suggestions that are wrong, insecure, or non-idiomatic, and can explain the resulting code.</t>
  </si>
  <si>
    <t xml:space="preserve">Identifies subtle issues in AI output (security, performance, correctness), refactors confidently when Copilot is wrong, and treats AI as a collaborator rather than an authority.</t>
  </si>
  <si>
    <t xml:space="preserve">Code Quality</t>
  </si>
  <si>
    <t xml:space="preserve">Project organization and naming</t>
  </si>
  <si>
    <t xml:space="preserve">The learner has placed Java packages, React components, and configuration files in more-or-less random locations with unclear naming.</t>
  </si>
  <si>
    <t xml:space="preserve">Code follows a sensible package and folder structure; names for classes, methods, variables, and components reflect their purpose and follow Java and React conventions.</t>
  </si>
  <si>
    <t xml:space="preserve">Organization and naming are exemplary; the project is easy for a new team member to navigate and will be used as a positive example for future cohorts.</t>
  </si>
  <si>
    <t xml:space="preserve">Exception handling and resilience</t>
  </si>
  <si>
    <t xml:space="preserve">Code works only on the happy path and fails ungracefully on bad input, network failures, or missing data.</t>
  </si>
  <si>
    <t xml:space="preserve">The learner handles foreseeable error conditions with appropriate exceptions and error responses; failures are logged with context and surface meaningful messages to the caller.</t>
  </si>
  <si>
    <t xml:space="preserve">Code is resilient under adverse conditions — malformed payloads, unavailable downstream services, timeouts — and fails safely without leaking sensitive information.</t>
  </si>
  <si>
    <t xml:space="preserve">Readability and idiomatic style</t>
  </si>
  <si>
    <t xml:space="preserve">Code is hard to read, mixes styles, or leaves dead Copilot artifacts in place; comments describe the 'how' instead of the 'why'.</t>
  </si>
  <si>
    <t xml:space="preserve">Code is clean, consistent, and idiomatic in both Java and React/JavaScript; comments describe the 'why' and not the 'how'.</t>
  </si>
  <si>
    <t xml:space="preserve">The solution is exemplary and could serve as a reference for future cohorts.</t>
  </si>
  <si>
    <t xml:space="preserve">Collaboration &amp; Presentation</t>
  </si>
  <si>
    <t xml:space="preserve">Collaboration</t>
  </si>
  <si>
    <t xml:space="preserve">The project was the work of a single individual or there were individuals who did not contribute</t>
  </si>
  <si>
    <t xml:space="preserve">Team members participated fully in pair and ensemble programming sessions, asked for help when needed, offered help when colleagues needed it (even without prompting), and acceded to the group's consensus about design decisions after making their case constructively.</t>
  </si>
  <si>
    <t xml:space="preserve">Beyond basic collaboration, the team members encouraged colleagues to participate in group activities and responded to their suggestions in a positive way, even when they disagreed.</t>
  </si>
  <si>
    <t xml:space="preserve">Final system demo</t>
  </si>
  <si>
    <t xml:space="preserve">The presentation seemed random or ad hoc, and/or the presenter did not seem to remember how the moving parts fit together. Multiple issues interrupted the flow and the presenter was not sure how to resolve them without assistance. When asked about design decisions, the presenter did not have a clear rationale.</t>
  </si>
  <si>
    <t xml:space="preserve">The demo had a logical sequence that enabled people to follow the flow. At most 1–2 issues interrupted the flow and the presenter was able to recover from them gracefully and without delay. When asked, the presenter was able to explain the rationale for design decisions.</t>
  </si>
  <si>
    <t xml:space="preserve">The presenter handled questions in a way that enabled them to complete the demo within the allotted time while still providing good answers. When asked about design decisions, the presenter clearly understood multiple possible solutions and their trade-offs, and engaged with the audience professionally.</t>
  </si>
  <si>
    <t xml:space="preserve">Total Score</t>
  </si>
  <si>
    <t xml:space="preserve">Percent out of 100:</t>
  </si>
</sst>
</file>

<file path=xl/styles.xml><?xml version="1.0" encoding="utf-8"?>
<styleSheet xmlns="http://schemas.openxmlformats.org/spreadsheetml/2006/main">
  <numFmts count="4">
    <numFmt numFmtId="164" formatCode="General"/>
    <numFmt numFmtId="165" formatCode="0.000"/>
    <numFmt numFmtId="166" formatCode="0.00"/>
    <numFmt numFmtId="167" formatCode="0.0"/>
  </numFmts>
  <fonts count="12">
    <font>
      <sz val="11"/>
      <color theme="1"/>
      <name val="Calibri"/>
      <family val="2"/>
      <charset val="1"/>
    </font>
    <font>
      <sz val="10"/>
      <name val="Arial"/>
      <family val="0"/>
    </font>
    <font>
      <sz val="10"/>
      <name val="Arial"/>
      <family val="0"/>
    </font>
    <font>
      <sz val="10"/>
      <name val="Arial"/>
      <family val="0"/>
    </font>
    <font>
      <b val="true"/>
      <sz val="18"/>
      <name val="Calibri"/>
      <family val="2"/>
      <charset val="1"/>
    </font>
    <font>
      <b val="true"/>
      <sz val="16"/>
      <name val="Calibri"/>
      <family val="2"/>
      <charset val="1"/>
    </font>
    <font>
      <b val="true"/>
      <sz val="12"/>
      <name val="Calibri"/>
      <family val="2"/>
      <charset val="1"/>
    </font>
    <font>
      <sz val="10"/>
      <name val="Calibri"/>
      <family val="2"/>
      <charset val="1"/>
    </font>
    <font>
      <sz val="10"/>
      <name val="Calibri"/>
      <family val="2"/>
    </font>
    <font>
      <sz val="12"/>
      <name val="Calibri"/>
      <family val="2"/>
      <charset val="1"/>
    </font>
    <font>
      <b val="true"/>
      <sz val="24"/>
      <name val="Calibri"/>
      <family val="2"/>
      <charset val="1"/>
    </font>
    <font>
      <b val="true"/>
      <sz val="20"/>
      <name val="Calibri"/>
      <family val="2"/>
      <charset val="1"/>
    </font>
  </fonts>
  <fills count="5">
    <fill>
      <patternFill patternType="none"/>
    </fill>
    <fill>
      <patternFill patternType="gray125"/>
    </fill>
    <fill>
      <patternFill patternType="solid">
        <fgColor rgb="FFFFA8AB"/>
        <bgColor rgb="FFFF8080"/>
      </patternFill>
    </fill>
    <fill>
      <patternFill patternType="solid">
        <fgColor theme="7" tint="0.7998"/>
        <bgColor rgb="FFFCD5B5"/>
      </patternFill>
    </fill>
    <fill>
      <patternFill patternType="solid">
        <fgColor theme="9" tint="0.5998"/>
        <bgColor rgb="FFE6E0E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5" fillId="4"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2" borderId="0" xfId="0" applyFont="true" applyBorder="false" applyAlignment="true" applyProtection="true">
      <alignment horizontal="left" vertical="top" textRotation="0" wrapText="true" indent="0" shrinkToFit="false"/>
      <protection locked="true" hidden="false"/>
    </xf>
    <xf numFmtId="164" fontId="7" fillId="3" borderId="0" xfId="0" applyFont="true" applyBorder="false" applyAlignment="true" applyProtection="true">
      <alignment horizontal="left" vertical="top" textRotation="0" wrapText="true" indent="0" shrinkToFit="false"/>
      <protection locked="true" hidden="false"/>
    </xf>
    <xf numFmtId="164" fontId="7" fillId="4"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5" fontId="9" fillId="0" borderId="0" xfId="0" applyFont="true" applyBorder="false" applyAlignment="true" applyProtection="true">
      <alignment horizontal="center" vertical="center" textRotation="0" wrapText="false" indent="0" shrinkToFit="false"/>
      <protection locked="true" hidden="false"/>
    </xf>
    <xf numFmtId="166" fontId="9" fillId="0" borderId="0" xfId="0" applyFont="true" applyBorder="false" applyAlignment="true" applyProtection="true">
      <alignment horizontal="center" vertical="center" textRotation="0" wrapText="false" indent="0" shrinkToFit="false"/>
      <protection locked="true" hidden="false"/>
    </xf>
    <xf numFmtId="164" fontId="10" fillId="4" borderId="0" xfId="0" applyFont="true" applyBorder="false" applyAlignment="true" applyProtection="true">
      <alignment horizontal="right" vertical="bottom" textRotation="0" wrapText="false" indent="0" shrinkToFit="false"/>
      <protection locked="true" hidden="false"/>
    </xf>
    <xf numFmtId="165" fontId="11" fillId="4"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right" vertical="bottom" textRotation="0" wrapText="false" indent="0" shrinkToFit="false"/>
      <protection locked="true" hidden="false"/>
    </xf>
    <xf numFmtId="167" fontId="9" fillId="0" borderId="0" xfId="0" applyFont="true" applyBorder="fals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E6E0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A8AB"/>
      <rgbColor rgb="FFCC99FF"/>
      <rgbColor rgb="FFFCD5B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true" showOutlineSymbols="true" defaultGridColor="true" view="normal" topLeftCell="A39" colorId="64" zoomScale="136" zoomScaleNormal="136" zoomScalePageLayoutView="100" workbookViewId="0">
      <selection pane="topLeft" activeCell="D38" activeCellId="0" sqref="D38"/>
    </sheetView>
  </sheetViews>
  <sheetFormatPr defaultColWidth="8.66796875" defaultRowHeight="15" customHeight="false" zeroHeight="false" outlineLevelRow="0" outlineLevelCol="0"/>
  <cols>
    <col collapsed="false" customWidth="true" hidden="false" outlineLevel="0" max="1" min="1" style="1" width="41.73"/>
    <col collapsed="false" customWidth="true" hidden="false" outlineLevel="0" max="2" min="2" style="1" width="26.83"/>
    <col collapsed="false" customWidth="true" hidden="false" outlineLevel="0" max="3" min="3" style="1" width="36.83"/>
    <col collapsed="false" customWidth="true" hidden="false" outlineLevel="0" max="4" min="4" style="1" width="35.16"/>
    <col collapsed="false" customWidth="true" hidden="false" outlineLevel="0" max="5" min="5" style="1" width="34.66"/>
    <col collapsed="false" customWidth="true" hidden="false" outlineLevel="0" max="7" min="6" style="1" width="11"/>
    <col collapsed="false" customWidth="true" hidden="false" outlineLevel="0" max="8" min="8" style="1" width="40.16"/>
    <col collapsed="false" customWidth="true" hidden="false" outlineLevel="0" max="9" min="9" style="1" width="19.33"/>
  </cols>
  <sheetData>
    <row r="1" customFormat="false" ht="30" hidden="false" customHeight="true" outlineLevel="0" collapsed="false">
      <c r="A1" s="2" t="s">
        <v>0</v>
      </c>
      <c r="B1" s="2"/>
      <c r="C1" s="2"/>
      <c r="D1" s="2"/>
      <c r="E1" s="2"/>
      <c r="F1" s="2"/>
      <c r="G1" s="2"/>
    </row>
    <row r="2" customFormat="false" ht="21" hidden="false" customHeight="true" outlineLevel="0" collapsed="false">
      <c r="A2" s="3" t="s">
        <v>1</v>
      </c>
    </row>
    <row r="5" customFormat="false" ht="43.5" hidden="false" customHeight="true" outlineLevel="0" collapsed="false">
      <c r="C5" s="4" t="s">
        <v>2</v>
      </c>
      <c r="D5" s="5" t="s">
        <v>3</v>
      </c>
      <c r="E5" s="6" t="s">
        <v>4</v>
      </c>
      <c r="F5" s="7" t="s">
        <v>5</v>
      </c>
      <c r="G5" s="7" t="s">
        <v>6</v>
      </c>
      <c r="H5" s="7" t="s">
        <v>7</v>
      </c>
    </row>
    <row r="6" customFormat="false" ht="22.5" hidden="false" customHeight="true" outlineLevel="0" collapsed="false">
      <c r="A6" s="8" t="s">
        <v>8</v>
      </c>
    </row>
    <row r="7" customFormat="false" ht="129.75" hidden="false" customHeight="true" outlineLevel="0" collapsed="false">
      <c r="B7" s="9" t="s">
        <v>9</v>
      </c>
      <c r="C7" s="10" t="s">
        <v>10</v>
      </c>
      <c r="D7" s="11" t="s">
        <v>11</v>
      </c>
      <c r="E7" s="12" t="s">
        <v>12</v>
      </c>
      <c r="F7" s="13"/>
      <c r="H7" s="14"/>
    </row>
    <row r="8" customFormat="false" ht="129.75" hidden="false" customHeight="true" outlineLevel="0" collapsed="false">
      <c r="B8" s="9" t="s">
        <v>13</v>
      </c>
      <c r="C8" s="10" t="s">
        <v>14</v>
      </c>
      <c r="D8" s="11" t="s">
        <v>15</v>
      </c>
      <c r="E8" s="12" t="s">
        <v>16</v>
      </c>
      <c r="F8" s="13"/>
      <c r="H8" s="14"/>
    </row>
    <row r="9" customFormat="false" ht="129.75" hidden="false" customHeight="true" outlineLevel="0" collapsed="false">
      <c r="B9" s="9" t="s">
        <v>17</v>
      </c>
      <c r="C9" s="10" t="s">
        <v>18</v>
      </c>
      <c r="D9" s="11" t="s">
        <v>19</v>
      </c>
      <c r="E9" s="12" t="s">
        <v>20</v>
      </c>
      <c r="F9" s="13"/>
      <c r="H9" s="14"/>
    </row>
    <row r="10" customFormat="false" ht="129.75" hidden="false" customHeight="true" outlineLevel="0" collapsed="false">
      <c r="B10" s="9" t="s">
        <v>21</v>
      </c>
      <c r="C10" s="10" t="s">
        <v>22</v>
      </c>
      <c r="D10" s="11" t="s">
        <v>23</v>
      </c>
      <c r="E10" s="12" t="s">
        <v>24</v>
      </c>
      <c r="F10" s="13"/>
      <c r="H10" s="14"/>
    </row>
    <row r="11" customFormat="false" ht="129.75" hidden="false" customHeight="true" outlineLevel="0" collapsed="false">
      <c r="B11" s="9" t="s">
        <v>25</v>
      </c>
      <c r="C11" s="10" t="s">
        <v>26</v>
      </c>
      <c r="D11" s="11" t="s">
        <v>27</v>
      </c>
      <c r="E11" s="12" t="s">
        <v>28</v>
      </c>
      <c r="F11" s="13"/>
      <c r="H11" s="14"/>
    </row>
    <row r="12" customFormat="false" ht="27" hidden="false" customHeight="true" outlineLevel="0" collapsed="false">
      <c r="E12" s="15" t="s">
        <v>29</v>
      </c>
      <c r="F12" s="16" t="n">
        <f aca="false">IFERROR(AVERAGE(F7:F10)/3*0.25,0)</f>
        <v>0</v>
      </c>
      <c r="G12" s="17" t="n">
        <v>0.25</v>
      </c>
    </row>
    <row r="13" customFormat="false" ht="22.5" hidden="false" customHeight="true" outlineLevel="0" collapsed="false">
      <c r="A13" s="8" t="s">
        <v>30</v>
      </c>
    </row>
    <row r="14" customFormat="false" ht="129.75" hidden="false" customHeight="true" outlineLevel="0" collapsed="false">
      <c r="B14" s="9" t="s">
        <v>31</v>
      </c>
      <c r="C14" s="10" t="s">
        <v>32</v>
      </c>
      <c r="D14" s="11" t="s">
        <v>33</v>
      </c>
      <c r="E14" s="12" t="s">
        <v>34</v>
      </c>
      <c r="F14" s="13"/>
      <c r="H14" s="14"/>
    </row>
    <row r="15" customFormat="false" ht="129.75" hidden="false" customHeight="true" outlineLevel="0" collapsed="false">
      <c r="B15" s="9" t="s">
        <v>35</v>
      </c>
      <c r="C15" s="10" t="s">
        <v>36</v>
      </c>
      <c r="D15" s="11" t="s">
        <v>37</v>
      </c>
      <c r="E15" s="12" t="s">
        <v>38</v>
      </c>
      <c r="F15" s="13"/>
      <c r="H15" s="14"/>
    </row>
    <row r="16" customFormat="false" ht="27" hidden="false" customHeight="true" outlineLevel="0" collapsed="false">
      <c r="E16" s="15" t="s">
        <v>29</v>
      </c>
      <c r="F16" s="16" t="n">
        <f aca="false">IFERROR(AVERAGE(F14:F15)/3*0.15,0)</f>
        <v>0</v>
      </c>
      <c r="G16" s="17" t="n">
        <v>0.15</v>
      </c>
    </row>
    <row r="17" customFormat="false" ht="22.5" hidden="false" customHeight="true" outlineLevel="0" collapsed="false">
      <c r="A17" s="8" t="s">
        <v>39</v>
      </c>
    </row>
    <row r="18" customFormat="false" ht="129.75" hidden="false" customHeight="true" outlineLevel="0" collapsed="false">
      <c r="B18" s="9" t="s">
        <v>40</v>
      </c>
      <c r="C18" s="10" t="s">
        <v>41</v>
      </c>
      <c r="D18" s="11" t="s">
        <v>42</v>
      </c>
      <c r="E18" s="12" t="s">
        <v>43</v>
      </c>
      <c r="F18" s="13"/>
      <c r="H18" s="14"/>
    </row>
    <row r="19" customFormat="false" ht="129.75" hidden="false" customHeight="true" outlineLevel="0" collapsed="false">
      <c r="B19" s="9" t="s">
        <v>44</v>
      </c>
      <c r="C19" s="10" t="s">
        <v>45</v>
      </c>
      <c r="D19" s="11" t="s">
        <v>46</v>
      </c>
      <c r="E19" s="12" t="s">
        <v>47</v>
      </c>
      <c r="F19" s="13"/>
      <c r="H19" s="14"/>
    </row>
    <row r="20" customFormat="false" ht="129.75" hidden="false" customHeight="true" outlineLevel="0" collapsed="false">
      <c r="B20" s="9" t="s">
        <v>48</v>
      </c>
      <c r="C20" s="10" t="s">
        <v>49</v>
      </c>
      <c r="D20" s="11" t="s">
        <v>50</v>
      </c>
      <c r="E20" s="12" t="s">
        <v>51</v>
      </c>
      <c r="F20" s="13"/>
      <c r="H20" s="14"/>
    </row>
    <row r="21" customFormat="false" ht="27" hidden="false" customHeight="true" outlineLevel="0" collapsed="false">
      <c r="E21" s="15" t="s">
        <v>29</v>
      </c>
      <c r="F21" s="16" t="n">
        <f aca="false">IFERROR(AVERAGE(F18:F20)/3*0.2,0)</f>
        <v>0</v>
      </c>
      <c r="G21" s="17" t="n">
        <v>0.2</v>
      </c>
    </row>
    <row r="22" customFormat="false" ht="22.5" hidden="false" customHeight="true" outlineLevel="0" collapsed="false">
      <c r="A22" s="8" t="s">
        <v>52</v>
      </c>
    </row>
    <row r="23" customFormat="false" ht="129.75" hidden="false" customHeight="true" outlineLevel="0" collapsed="false">
      <c r="B23" s="9" t="s">
        <v>53</v>
      </c>
      <c r="C23" s="10" t="s">
        <v>54</v>
      </c>
      <c r="D23" s="11" t="s">
        <v>55</v>
      </c>
      <c r="E23" s="12" t="s">
        <v>56</v>
      </c>
      <c r="F23" s="13"/>
      <c r="H23" s="14"/>
    </row>
    <row r="24" customFormat="false" ht="129.75" hidden="false" customHeight="true" outlineLevel="0" collapsed="false">
      <c r="B24" s="9" t="s">
        <v>57</v>
      </c>
      <c r="C24" s="10" t="s">
        <v>58</v>
      </c>
      <c r="D24" s="11" t="s">
        <v>59</v>
      </c>
      <c r="E24" s="12" t="s">
        <v>60</v>
      </c>
      <c r="F24" s="13"/>
      <c r="H24" s="14"/>
    </row>
    <row r="25" customFormat="false" ht="129.75" hidden="false" customHeight="true" outlineLevel="0" collapsed="false">
      <c r="B25" s="9" t="s">
        <v>61</v>
      </c>
      <c r="C25" s="10" t="s">
        <v>62</v>
      </c>
      <c r="D25" s="11" t="s">
        <v>63</v>
      </c>
      <c r="E25" s="12" t="s">
        <v>64</v>
      </c>
      <c r="F25" s="13"/>
      <c r="H25" s="14"/>
    </row>
    <row r="26" customFormat="false" ht="27" hidden="false" customHeight="true" outlineLevel="0" collapsed="false">
      <c r="E26" s="15" t="s">
        <v>29</v>
      </c>
      <c r="F26" s="16" t="n">
        <f aca="false">IFERROR(AVERAGE(F23:F25)/3*0.15,0)</f>
        <v>0</v>
      </c>
      <c r="G26" s="17" t="n">
        <v>0.15</v>
      </c>
    </row>
    <row r="27" customFormat="false" ht="22.5" hidden="false" customHeight="true" outlineLevel="0" collapsed="false">
      <c r="A27" s="8" t="s">
        <v>65</v>
      </c>
    </row>
    <row r="28" customFormat="false" ht="129.75" hidden="false" customHeight="true" outlineLevel="0" collapsed="false">
      <c r="B28" s="9" t="s">
        <v>66</v>
      </c>
      <c r="C28" s="10" t="s">
        <v>67</v>
      </c>
      <c r="D28" s="11" t="s">
        <v>68</v>
      </c>
      <c r="E28" s="12" t="s">
        <v>69</v>
      </c>
      <c r="F28" s="13"/>
      <c r="H28" s="14"/>
    </row>
    <row r="29" customFormat="false" ht="129.75" hidden="false" customHeight="true" outlineLevel="0" collapsed="false">
      <c r="B29" s="9" t="s">
        <v>70</v>
      </c>
      <c r="C29" s="10" t="s">
        <v>71</v>
      </c>
      <c r="D29" s="11" t="s">
        <v>72</v>
      </c>
      <c r="E29" s="12" t="s">
        <v>73</v>
      </c>
      <c r="F29" s="13"/>
      <c r="H29" s="14"/>
    </row>
    <row r="30" customFormat="false" ht="27" hidden="false" customHeight="true" outlineLevel="0" collapsed="false">
      <c r="E30" s="15" t="s">
        <v>29</v>
      </c>
      <c r="F30" s="16" t="n">
        <f aca="false">IFERROR(AVERAGE(F28:F29)/3*0.1,0)</f>
        <v>0</v>
      </c>
      <c r="G30" s="17" t="n">
        <v>0.1</v>
      </c>
    </row>
    <row r="31" customFormat="false" ht="22.5" hidden="false" customHeight="true" outlineLevel="0" collapsed="false">
      <c r="A31" s="8" t="s">
        <v>74</v>
      </c>
    </row>
    <row r="32" customFormat="false" ht="129.75" hidden="false" customHeight="true" outlineLevel="0" collapsed="false">
      <c r="B32" s="9" t="s">
        <v>75</v>
      </c>
      <c r="C32" s="10" t="s">
        <v>76</v>
      </c>
      <c r="D32" s="11" t="s">
        <v>77</v>
      </c>
      <c r="E32" s="12" t="s">
        <v>78</v>
      </c>
      <c r="F32" s="13"/>
      <c r="H32" s="14"/>
    </row>
    <row r="33" customFormat="false" ht="129.75" hidden="false" customHeight="true" outlineLevel="0" collapsed="false">
      <c r="B33" s="9" t="s">
        <v>79</v>
      </c>
      <c r="C33" s="10" t="s">
        <v>80</v>
      </c>
      <c r="D33" s="11" t="s">
        <v>81</v>
      </c>
      <c r="E33" s="12" t="s">
        <v>82</v>
      </c>
      <c r="F33" s="13"/>
      <c r="H33" s="14"/>
    </row>
    <row r="34" customFormat="false" ht="129.75" hidden="false" customHeight="true" outlineLevel="0" collapsed="false">
      <c r="B34" s="9" t="s">
        <v>83</v>
      </c>
      <c r="C34" s="10" t="s">
        <v>84</v>
      </c>
      <c r="D34" s="11" t="s">
        <v>85</v>
      </c>
      <c r="E34" s="12" t="s">
        <v>86</v>
      </c>
      <c r="F34" s="13"/>
      <c r="H34" s="14"/>
    </row>
    <row r="35" customFormat="false" ht="27" hidden="false" customHeight="true" outlineLevel="0" collapsed="false">
      <c r="E35" s="15" t="s">
        <v>29</v>
      </c>
      <c r="F35" s="16" t="n">
        <f aca="false">IFERROR(AVERAGE(F32:F34)/3*0.1,0)</f>
        <v>0</v>
      </c>
      <c r="G35" s="17" t="n">
        <v>0.1</v>
      </c>
    </row>
    <row r="36" customFormat="false" ht="22.5" hidden="false" customHeight="true" outlineLevel="0" collapsed="false">
      <c r="A36" s="8" t="s">
        <v>87</v>
      </c>
    </row>
    <row r="37" customFormat="false" ht="129.75" hidden="false" customHeight="true" outlineLevel="0" collapsed="false">
      <c r="B37" s="9" t="s">
        <v>88</v>
      </c>
      <c r="C37" s="10" t="s">
        <v>89</v>
      </c>
      <c r="D37" s="11" t="s">
        <v>90</v>
      </c>
      <c r="E37" s="12" t="s">
        <v>91</v>
      </c>
      <c r="F37" s="13"/>
      <c r="H37" s="14"/>
    </row>
    <row r="38" customFormat="false" ht="129.75" hidden="false" customHeight="true" outlineLevel="0" collapsed="false">
      <c r="B38" s="9" t="s">
        <v>92</v>
      </c>
      <c r="C38" s="10" t="s">
        <v>93</v>
      </c>
      <c r="D38" s="11" t="s">
        <v>94</v>
      </c>
      <c r="E38" s="12" t="s">
        <v>95</v>
      </c>
      <c r="F38" s="13"/>
      <c r="H38" s="14"/>
    </row>
    <row r="39" customFormat="false" ht="27" hidden="false" customHeight="true" outlineLevel="0" collapsed="false">
      <c r="E39" s="15" t="s">
        <v>29</v>
      </c>
      <c r="F39" s="16" t="n">
        <f aca="false">IFERROR(AVERAGE(F37:F38)/3*0.05,0)</f>
        <v>0</v>
      </c>
      <c r="G39" s="17" t="n">
        <v>0.05</v>
      </c>
    </row>
    <row r="41" customFormat="false" ht="33.75" hidden="false" customHeight="true" outlineLevel="0" collapsed="false">
      <c r="E41" s="18" t="s">
        <v>96</v>
      </c>
      <c r="F41" s="19" t="n">
        <f aca="false">SUM(F12,F16,F21,F26,F30,F35,F39)</f>
        <v>0</v>
      </c>
    </row>
    <row r="43" customFormat="false" ht="15" hidden="false" customHeight="false" outlineLevel="0" collapsed="false">
      <c r="E43" s="20" t="s">
        <v>97</v>
      </c>
      <c r="F43" s="21" t="n">
        <f aca="false">F41*100</f>
        <v>0</v>
      </c>
    </row>
    <row r="1048575" customFormat="false" ht="12.8" hidden="false" customHeight="false" outlineLevel="0" collapsed="false"/>
    <row r="1048576" customFormat="false" ht="12.8" hidden="false" customHeight="false" outlineLevel="0" collapsed="false"/>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2156</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2026-04-21T22:24:56Z</dcterms:created>
  <dc:creator>openpyxl</dc:creator>
  <dc:description/>
  <dc:language>en-US</dc:language>
  <cp:lastModifiedBy/>
  <dcterms:modified xsi:type="dcterms:W3CDTF">2026-06-21T18:04:38Z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